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E:\Programing\MATLAB\自动控制原理\自动控制原理实验\实验4\"/>
    </mc:Choice>
  </mc:AlternateContent>
  <xr:revisionPtr revIDLastSave="0" documentId="13_ncr:1_{605B6104-BACF-46B6-B28A-2E4B8D0D9A1A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" i="1" l="1"/>
  <c r="E4" i="1"/>
  <c r="F4" i="1"/>
  <c r="G4" i="1"/>
  <c r="H4" i="1"/>
  <c r="I4" i="1"/>
  <c r="J4" i="1"/>
  <c r="K4" i="1"/>
  <c r="L4" i="1"/>
  <c r="M4" i="1"/>
  <c r="N4" i="1"/>
  <c r="O4" i="1"/>
  <c r="C4" i="1"/>
  <c r="D10" i="1"/>
  <c r="E10" i="1"/>
  <c r="F10" i="1"/>
  <c r="G10" i="1"/>
  <c r="H10" i="1"/>
  <c r="I10" i="1"/>
  <c r="J10" i="1"/>
  <c r="K10" i="1"/>
  <c r="L10" i="1"/>
  <c r="M10" i="1"/>
  <c r="N10" i="1"/>
  <c r="O10" i="1"/>
  <c r="C10" i="1"/>
  <c r="D8" i="1"/>
  <c r="E8" i="1"/>
  <c r="F8" i="1"/>
  <c r="G8" i="1"/>
  <c r="H8" i="1"/>
  <c r="I8" i="1"/>
  <c r="J8" i="1"/>
  <c r="K8" i="1"/>
  <c r="L8" i="1"/>
  <c r="M8" i="1"/>
  <c r="N8" i="1"/>
  <c r="O8" i="1"/>
  <c r="C8" i="1"/>
  <c r="D7" i="1"/>
  <c r="E7" i="1"/>
  <c r="F7" i="1"/>
  <c r="G7" i="1"/>
  <c r="H7" i="1"/>
  <c r="I7" i="1"/>
  <c r="J7" i="1"/>
  <c r="K7" i="1"/>
  <c r="L7" i="1"/>
  <c r="M7" i="1"/>
  <c r="N7" i="1"/>
  <c r="O7" i="1"/>
  <c r="C7" i="1"/>
  <c r="M1" i="1"/>
  <c r="N1" i="1"/>
  <c r="O1" i="1"/>
  <c r="D1" i="1"/>
  <c r="E1" i="1"/>
  <c r="F1" i="1"/>
  <c r="G1" i="1"/>
  <c r="H1" i="1"/>
  <c r="I1" i="1"/>
  <c r="J1" i="1"/>
  <c r="K1" i="1"/>
  <c r="L1" i="1"/>
  <c r="C1" i="1"/>
</calcChain>
</file>

<file path=xl/sharedStrings.xml><?xml version="1.0" encoding="utf-8"?>
<sst xmlns="http://schemas.openxmlformats.org/spreadsheetml/2006/main" count="12" uniqueCount="12">
  <si>
    <t>ω (弧度/秒)</t>
  </si>
  <si>
    <t>f (赫兹)</t>
  </si>
  <si>
    <t>理论值</t>
  </si>
  <si>
    <t>A(ω)</t>
  </si>
  <si>
    <t>L(ω) (分贝)</t>
  </si>
  <si>
    <t>φ(ω) (度)</t>
  </si>
  <si>
    <t>实验值</t>
  </si>
  <si>
    <t>Y_p-p (毫伏)</t>
  </si>
  <si>
    <t>A'(ω)</t>
  </si>
  <si>
    <t>L'(ω) (分贝)</t>
  </si>
  <si>
    <t>Δt (毫秒)</t>
  </si>
  <si>
    <t>φ'(ω) (度)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</si>
</sst>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_ "/>
    <numFmt numFmtId="178" formatCode="0.0_ "/>
  </numFmts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rgb="FF1F1F1F"/>
      <name val="Arial"/>
      <family val="2"/>
    </font>
    <font>
      <sz val="11"/>
      <color rgb="FF1F1F1F"/>
      <name val="Times New Roman"/>
      <family val="1"/>
    </font>
    <font>
      <sz val="11"/>
      <color theme="1"/>
      <name val="Times New Roman"/>
      <family val="1"/>
    </font>
    <font>
      <sz val="11"/>
      <color rgb="FF1F1F1F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Alignment="1">
      <alignment vertical="center" wrapText="1" readingOrder="1"/>
    </xf>
    <xf numFmtId="0" fontId="5" fillId="0" borderId="1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vertical="center" wrapText="1" readingOrder="1"/>
    </xf>
    <xf numFmtId="176" fontId="3" fillId="0" borderId="1" xfId="0" applyNumberFormat="1" applyFont="1" applyBorder="1" applyAlignment="1">
      <alignment vertical="center" wrapText="1" readingOrder="1"/>
    </xf>
    <xf numFmtId="176" fontId="4" fillId="0" borderId="1" xfId="0" applyNumberFormat="1" applyFont="1" applyBorder="1"/>
    <xf numFmtId="177" fontId="3" fillId="0" borderId="1" xfId="0" applyNumberFormat="1" applyFont="1" applyBorder="1" applyAlignment="1">
      <alignment vertical="center" wrapText="1" readingOrder="1"/>
    </xf>
    <xf numFmtId="178" fontId="3" fillId="0" borderId="1" xfId="0" applyNumberFormat="1" applyFont="1" applyBorder="1" applyAlignment="1">
      <alignment vertical="center" wrapText="1" readingOrder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0"/>
  <sheetViews>
    <sheetView tabSelected="1" topLeftCell="D1" zoomScale="130" zoomScaleNormal="130" workbookViewId="0">
      <selection activeCell="M1" sqref="M1:N4"/>
    </sheetView>
  </sheetViews>
  <sheetFormatPr defaultRowHeight="14" x14ac:dyDescent="0.3"/>
  <cols>
    <col min="2" max="2" width="14.4140625" customWidth="1"/>
    <col min="3" max="3" width="13.6640625" bestFit="1" customWidth="1"/>
    <col min="4" max="9" width="11.5" bestFit="1" customWidth="1"/>
    <col min="10" max="10" width="10.9140625" bestFit="1" customWidth="1"/>
    <col min="11" max="12" width="11.5" bestFit="1" customWidth="1"/>
    <col min="13" max="13" width="10.9140625" bestFit="1" customWidth="1"/>
    <col min="14" max="15" width="11.5" bestFit="1" customWidth="1"/>
  </cols>
  <sheetData>
    <row r="1" spans="1:23" ht="15" customHeight="1" x14ac:dyDescent="0.3">
      <c r="A1" s="2" t="s">
        <v>0</v>
      </c>
      <c r="B1" s="2"/>
      <c r="C1" s="4">
        <f>2*PI()*C2</f>
        <v>6.2831853071795862</v>
      </c>
      <c r="D1" s="4">
        <f t="shared" ref="D1:O1" si="0">2*PI()*D2</f>
        <v>12.566370614359172</v>
      </c>
      <c r="E1" s="4">
        <f t="shared" si="0"/>
        <v>18.849555921538759</v>
      </c>
      <c r="F1" s="4">
        <f t="shared" si="0"/>
        <v>19.477874452256717</v>
      </c>
      <c r="G1" s="4">
        <f t="shared" si="0"/>
        <v>20.106192982974676</v>
      </c>
      <c r="H1" s="4">
        <f t="shared" si="0"/>
        <v>20.734511513692635</v>
      </c>
      <c r="I1" s="4">
        <f t="shared" si="0"/>
        <v>21.362830044410593</v>
      </c>
      <c r="J1" s="4">
        <f t="shared" si="0"/>
        <v>21.991148575128552</v>
      </c>
      <c r="K1" s="4">
        <f t="shared" si="0"/>
        <v>22.61946710584651</v>
      </c>
      <c r="L1" s="4">
        <f t="shared" si="0"/>
        <v>25.132741228718345</v>
      </c>
      <c r="M1" s="4">
        <f t="shared" si="0"/>
        <v>31.415926535897931</v>
      </c>
      <c r="N1" s="4">
        <f t="shared" si="0"/>
        <v>37.699111843077517</v>
      </c>
      <c r="O1" s="4">
        <f t="shared" si="0"/>
        <v>43.982297150257104</v>
      </c>
      <c r="V1" s="1"/>
      <c r="W1" s="1"/>
    </row>
    <row r="2" spans="1:23" ht="15" customHeight="1" x14ac:dyDescent="0.3">
      <c r="A2" s="2" t="s">
        <v>1</v>
      </c>
      <c r="B2" s="2"/>
      <c r="C2" s="7">
        <v>1</v>
      </c>
      <c r="D2" s="7">
        <v>2</v>
      </c>
      <c r="E2" s="7">
        <v>3</v>
      </c>
      <c r="F2" s="7">
        <v>3.1</v>
      </c>
      <c r="G2" s="7">
        <v>3.2</v>
      </c>
      <c r="H2" s="7">
        <v>3.3</v>
      </c>
      <c r="I2" s="7">
        <v>3.4</v>
      </c>
      <c r="J2" s="7">
        <v>3.5</v>
      </c>
      <c r="K2" s="7">
        <v>3.6</v>
      </c>
      <c r="L2" s="7">
        <v>4</v>
      </c>
      <c r="M2" s="7">
        <v>5</v>
      </c>
      <c r="N2" s="7">
        <v>6</v>
      </c>
      <c r="O2" s="7">
        <v>7</v>
      </c>
    </row>
    <row r="3" spans="1:23" ht="15" customHeight="1" x14ac:dyDescent="0.3">
      <c r="A3" s="2" t="s">
        <v>2</v>
      </c>
      <c r="B3" s="3" t="s">
        <v>3</v>
      </c>
      <c r="C3" s="4">
        <v>1.07575906008027</v>
      </c>
      <c r="D3" s="4">
        <v>1.37197874389712</v>
      </c>
      <c r="E3" s="4">
        <v>2.1041303913256399</v>
      </c>
      <c r="F3" s="4">
        <v>2.1824675892240699</v>
      </c>
      <c r="G3" s="4">
        <v>2.2452419311407601</v>
      </c>
      <c r="H3" s="4">
        <v>2.28448182129697</v>
      </c>
      <c r="I3" s="4">
        <v>2.2931779175622902</v>
      </c>
      <c r="J3" s="4">
        <v>2.2673539796678202</v>
      </c>
      <c r="K3" s="4">
        <v>2.20756413540186</v>
      </c>
      <c r="L3" s="4">
        <v>1.76228569977563</v>
      </c>
      <c r="M3" s="5">
        <v>0.86280472247823004</v>
      </c>
      <c r="N3" s="5">
        <v>0.50232253757054401</v>
      </c>
      <c r="O3" s="5">
        <v>0.33325414490830602</v>
      </c>
    </row>
    <row r="4" spans="1:23" ht="15" customHeight="1" x14ac:dyDescent="0.3">
      <c r="A4" s="2"/>
      <c r="B4" s="3" t="s">
        <v>4</v>
      </c>
      <c r="C4" s="4">
        <f>20*LOG(C3)</f>
        <v>0.63430024826495179</v>
      </c>
      <c r="D4" s="4">
        <f t="shared" ref="D4:O4" si="1">20*LOG(D3)</f>
        <v>2.7469476577397538</v>
      </c>
      <c r="E4" s="4">
        <f t="shared" si="1"/>
        <v>6.4614529841451827</v>
      </c>
      <c r="F4" s="4">
        <f t="shared" si="1"/>
        <v>6.7789560585426925</v>
      </c>
      <c r="G4" s="4">
        <f t="shared" si="1"/>
        <v>7.0252628862832287</v>
      </c>
      <c r="H4" s="4">
        <f t="shared" si="1"/>
        <v>7.1757541303748509</v>
      </c>
      <c r="I4" s="4">
        <f t="shared" si="1"/>
        <v>7.2087550206170352</v>
      </c>
      <c r="J4" s="4">
        <f t="shared" si="1"/>
        <v>7.1103865508808459</v>
      </c>
      <c r="K4" s="4">
        <f t="shared" si="1"/>
        <v>6.8782665960363687</v>
      </c>
      <c r="L4" s="4">
        <f t="shared" si="1"/>
        <v>4.9215263423357234</v>
      </c>
      <c r="M4" s="4">
        <f t="shared" si="1"/>
        <v>-1.2817497298825873</v>
      </c>
      <c r="N4" s="4">
        <f t="shared" si="1"/>
        <v>-5.9803467205859207</v>
      </c>
      <c r="O4" s="4">
        <f t="shared" si="1"/>
        <v>-9.5444888052971795</v>
      </c>
    </row>
    <row r="5" spans="1:23" ht="15" customHeight="1" x14ac:dyDescent="0.3">
      <c r="A5" s="2"/>
      <c r="B5" s="3" t="s">
        <v>5</v>
      </c>
      <c r="C5" s="4">
        <v>-7.7692523539998701</v>
      </c>
      <c r="D5" s="4">
        <v>-20.1705560380896</v>
      </c>
      <c r="E5" s="4">
        <v>-52.489189854461301</v>
      </c>
      <c r="F5" s="4">
        <v>-58.233058466927901</v>
      </c>
      <c r="G5" s="4">
        <v>-64.537298942598795</v>
      </c>
      <c r="H5" s="4">
        <v>-71.325395661781599</v>
      </c>
      <c r="I5" s="4">
        <v>-78.457171105694997</v>
      </c>
      <c r="J5" s="4">
        <v>-85.737786298136001</v>
      </c>
      <c r="K5" s="4">
        <v>-92.945921744428205</v>
      </c>
      <c r="L5" s="4">
        <v>-117.64722570162201</v>
      </c>
      <c r="M5" s="5">
        <v>-147.17218603455601</v>
      </c>
      <c r="N5" s="5">
        <v>-157.74420226198001</v>
      </c>
      <c r="O5" s="5">
        <v>-162.95362391984401</v>
      </c>
    </row>
    <row r="6" spans="1:23" ht="15" customHeight="1" x14ac:dyDescent="0.3">
      <c r="A6" s="2" t="s">
        <v>6</v>
      </c>
      <c r="B6" s="3" t="s">
        <v>7</v>
      </c>
      <c r="C6" s="6">
        <v>2125</v>
      </c>
      <c r="D6" s="6">
        <v>2662</v>
      </c>
      <c r="E6" s="6">
        <v>3960</v>
      </c>
      <c r="F6" s="6">
        <v>4071</v>
      </c>
      <c r="G6" s="6">
        <v>4251</v>
      </c>
      <c r="H6" s="6">
        <v>4452</v>
      </c>
      <c r="I6" s="6">
        <v>4519</v>
      </c>
      <c r="J6" s="6">
        <v>4541</v>
      </c>
      <c r="K6" s="6">
        <v>4497</v>
      </c>
      <c r="L6" s="6">
        <v>4027</v>
      </c>
      <c r="M6" s="6">
        <v>2215</v>
      </c>
      <c r="N6" s="6">
        <v>1051</v>
      </c>
      <c r="O6" s="6">
        <v>693</v>
      </c>
    </row>
    <row r="7" spans="1:23" ht="15" customHeight="1" x14ac:dyDescent="0.3">
      <c r="A7" s="2"/>
      <c r="B7" s="3" t="s">
        <v>8</v>
      </c>
      <c r="C7" s="4">
        <f>C6/2000</f>
        <v>1.0625</v>
      </c>
      <c r="D7" s="4">
        <f t="shared" ref="D7:O7" si="2">D6/2000</f>
        <v>1.331</v>
      </c>
      <c r="E7" s="4">
        <f t="shared" si="2"/>
        <v>1.98</v>
      </c>
      <c r="F7" s="4">
        <f t="shared" si="2"/>
        <v>2.0354999999999999</v>
      </c>
      <c r="G7" s="4">
        <f t="shared" si="2"/>
        <v>2.1255000000000002</v>
      </c>
      <c r="H7" s="4">
        <f t="shared" si="2"/>
        <v>2.226</v>
      </c>
      <c r="I7" s="4">
        <f t="shared" si="2"/>
        <v>2.2595000000000001</v>
      </c>
      <c r="J7" s="4">
        <f t="shared" si="2"/>
        <v>2.2705000000000002</v>
      </c>
      <c r="K7" s="4">
        <f t="shared" si="2"/>
        <v>2.2484999999999999</v>
      </c>
      <c r="L7" s="4">
        <f t="shared" si="2"/>
        <v>2.0135000000000001</v>
      </c>
      <c r="M7" s="4">
        <f t="shared" si="2"/>
        <v>1.1074999999999999</v>
      </c>
      <c r="N7" s="4">
        <f t="shared" si="2"/>
        <v>0.52549999999999997</v>
      </c>
      <c r="O7" s="4">
        <f t="shared" si="2"/>
        <v>0.34649999999999997</v>
      </c>
    </row>
    <row r="8" spans="1:23" ht="15" customHeight="1" x14ac:dyDescent="0.3">
      <c r="A8" s="2"/>
      <c r="B8" s="3" t="s">
        <v>9</v>
      </c>
      <c r="C8" s="4">
        <f>20*LOG(C7)</f>
        <v>0.52657877444698298</v>
      </c>
      <c r="D8" s="4">
        <f t="shared" ref="D8:O8" si="3">20*LOG(D7)</f>
        <v>2.4835611094935022</v>
      </c>
      <c r="E8" s="4">
        <f t="shared" si="3"/>
        <v>5.9333038052306222</v>
      </c>
      <c r="F8" s="4">
        <f t="shared" si="3"/>
        <v>6.1734221343083657</v>
      </c>
      <c r="G8" s="4">
        <f t="shared" si="3"/>
        <v>6.5492221860628339</v>
      </c>
      <c r="H8" s="4">
        <f t="shared" si="3"/>
        <v>6.9505031999737898</v>
      </c>
      <c r="I8" s="4">
        <f t="shared" si="3"/>
        <v>7.0802469133444115</v>
      </c>
      <c r="J8" s="4">
        <f t="shared" si="3"/>
        <v>7.1224301247397097</v>
      </c>
      <c r="K8" s="4">
        <f t="shared" si="3"/>
        <v>7.0378578380792147</v>
      </c>
      <c r="L8" s="4">
        <f t="shared" si="3"/>
        <v>6.079032678869007</v>
      </c>
      <c r="M8" s="4">
        <f t="shared" si="3"/>
        <v>0.88687469790214291</v>
      </c>
      <c r="N8" s="4">
        <f t="shared" si="3"/>
        <v>-5.5885455927147802</v>
      </c>
      <c r="O8" s="4">
        <f t="shared" si="3"/>
        <v>-9.2059352210434895</v>
      </c>
    </row>
    <row r="9" spans="1:23" ht="15" customHeight="1" x14ac:dyDescent="0.3">
      <c r="A9" s="2"/>
      <c r="B9" s="3" t="s">
        <v>10</v>
      </c>
      <c r="C9" s="6">
        <v>140</v>
      </c>
      <c r="D9" s="6">
        <v>256</v>
      </c>
      <c r="E9" s="6">
        <v>400</v>
      </c>
      <c r="F9" s="6">
        <v>432</v>
      </c>
      <c r="G9" s="6">
        <v>447</v>
      </c>
      <c r="H9" s="6">
        <v>503</v>
      </c>
      <c r="I9" s="6">
        <v>580</v>
      </c>
      <c r="J9" s="6">
        <v>599</v>
      </c>
      <c r="K9" s="6">
        <v>641</v>
      </c>
      <c r="L9" s="6">
        <v>710</v>
      </c>
      <c r="M9" s="6">
        <v>783</v>
      </c>
      <c r="N9" s="6">
        <v>723</v>
      </c>
      <c r="O9" s="6">
        <v>632</v>
      </c>
    </row>
    <row r="10" spans="1:23" ht="15" customHeight="1" x14ac:dyDescent="0.3">
      <c r="A10" s="2"/>
      <c r="B10" s="3" t="s">
        <v>11</v>
      </c>
      <c r="C10" s="4">
        <f>-C9*0.001*0.1*C2*360</f>
        <v>-5.0400000000000009</v>
      </c>
      <c r="D10" s="4">
        <f t="shared" ref="D10:O10" si="4">-D9*0.001*0.1*D2*360</f>
        <v>-18.432000000000002</v>
      </c>
      <c r="E10" s="4">
        <f t="shared" si="4"/>
        <v>-43.20000000000001</v>
      </c>
      <c r="F10" s="4">
        <f t="shared" si="4"/>
        <v>-48.211200000000005</v>
      </c>
      <c r="G10" s="4">
        <f t="shared" si="4"/>
        <v>-51.494400000000013</v>
      </c>
      <c r="H10" s="4">
        <f t="shared" si="4"/>
        <v>-59.756399999999999</v>
      </c>
      <c r="I10" s="4">
        <f t="shared" si="4"/>
        <v>-70.99199999999999</v>
      </c>
      <c r="J10" s="4">
        <f t="shared" si="4"/>
        <v>-75.474000000000004</v>
      </c>
      <c r="K10" s="4">
        <f t="shared" si="4"/>
        <v>-83.073600000000013</v>
      </c>
      <c r="L10" s="4">
        <f t="shared" si="4"/>
        <v>-102.24</v>
      </c>
      <c r="M10" s="4">
        <f t="shared" si="4"/>
        <v>-140.94000000000003</v>
      </c>
      <c r="N10" s="4">
        <f t="shared" si="4"/>
        <v>-156.16800000000001</v>
      </c>
      <c r="O10" s="4">
        <f t="shared" si="4"/>
        <v>-159.26400000000001</v>
      </c>
    </row>
  </sheetData>
  <mergeCells count="4">
    <mergeCell ref="A1:B1"/>
    <mergeCell ref="A2:B2"/>
    <mergeCell ref="A3:A5"/>
    <mergeCell ref="A6:A10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王从军</dc:creator>
  <cp:lastModifiedBy>从军 王</cp:lastModifiedBy>
  <dcterms:created xsi:type="dcterms:W3CDTF">2015-06-05T18:17:20Z</dcterms:created>
  <dcterms:modified xsi:type="dcterms:W3CDTF">2025-12-16T11:37:52Z</dcterms:modified>
</cp:coreProperties>
</file>